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MDA\Dropbox\SMDA\SMDA 7ed\SMDA 7ed Data Files\Chapter 12\"/>
    </mc:Choice>
  </mc:AlternateContent>
  <bookViews>
    <workbookView xWindow="240" yWindow="135" windowWidth="14220" windowHeight="7395"/>
  </bookViews>
  <sheets>
    <sheet name="Health Claims Model" sheetId="1" r:id="rId1"/>
    <sheet name="Confidence Intervals" sheetId="4" r:id="rId2"/>
  </sheets>
  <definedNames>
    <definedName name="solver_bigm" localSheetId="0" hidden="1">1000000</definedName>
    <definedName name="solver_bnd" localSheetId="0" hidden="1">1</definedName>
    <definedName name="solver_cha" localSheetId="0" hidden="1">0</definedName>
    <definedName name="solver_chn" localSheetId="0" hidden="1">4</definedName>
    <definedName name="solver_cht" localSheetId="0" hidden="1">0</definedName>
    <definedName name="solver_corr" hidden="1">1</definedName>
    <definedName name="solver_ctp1" hidden="1">0</definedName>
    <definedName name="solver_ctp2" hidden="1">0</definedName>
    <definedName name="solver_dia" localSheetId="0" hidden="1">1</definedName>
    <definedName name="solver_disp" hidden="1">0</definedName>
    <definedName name="solver_eval" hidden="1">1</definedName>
    <definedName name="solver_glb" localSheetId="0" hidden="1">-1E+30</definedName>
    <definedName name="solver_gub" localSheetId="0" hidden="1">1E+30</definedName>
    <definedName name="solver_iao" localSheetId="0" hidden="1">0</definedName>
    <definedName name="solver_inc" localSheetId="0" hidden="1">0</definedName>
    <definedName name="solver_int" localSheetId="0" hidden="1">0</definedName>
    <definedName name="solver_ism" localSheetId="0" hidden="1">0</definedName>
    <definedName name="solver_lcens" hidden="1">-1E+30</definedName>
    <definedName name="solver_lcut" hidden="1">-1E+30</definedName>
    <definedName name="solver_log" localSheetId="0" hidden="1">1</definedName>
    <definedName name="solver_mda" localSheetId="0" hidden="1">4</definedName>
    <definedName name="solver_mod" localSheetId="0" hidden="1">3</definedName>
    <definedName name="solver_nopt" localSheetId="0" hidden="1">1</definedName>
    <definedName name="solver_nsim" hidden="1">1</definedName>
    <definedName name="solver_nsopt" localSheetId="0" hidden="1">-1</definedName>
    <definedName name="solver_nssim" hidden="1">-1</definedName>
    <definedName name="solver_ntr" localSheetId="0" hidden="1">0</definedName>
    <definedName name="solver_ntri" hidden="1">5000</definedName>
    <definedName name="solver_psi" localSheetId="0" hidden="1">0</definedName>
    <definedName name="solver_rgen" hidden="1">1</definedName>
    <definedName name="solver_rsmp" hidden="1">1</definedName>
    <definedName name="solver_seed" hidden="1">0</definedName>
    <definedName name="solver_slv" localSheetId="0" hidden="1">0</definedName>
    <definedName name="solver_slvu" localSheetId="0" hidden="1">0</definedName>
    <definedName name="solver_stat" hidden="1">2</definedName>
    <definedName name="solver_strm" hidden="1">0</definedName>
    <definedName name="solver_tree_a" localSheetId="0" hidden="1">1</definedName>
    <definedName name="solver_tree_b" localSheetId="0" hidden="1">1</definedName>
    <definedName name="solver_tree_ce" localSheetId="0" hidden="1">1</definedName>
    <definedName name="solver_tree_dn" localSheetId="0" hidden="1">1</definedName>
    <definedName name="solver_tree_rt" localSheetId="0" hidden="1">1000000000000</definedName>
    <definedName name="solver_typ" localSheetId="1" hidden="1">2</definedName>
    <definedName name="solver_typ" localSheetId="0" hidden="1">2</definedName>
    <definedName name="solver_ucens" hidden="1">1E+30</definedName>
    <definedName name="solver_ucut" hidden="1">1E+30</definedName>
    <definedName name="solver_umod" localSheetId="0" hidden="1">1</definedName>
    <definedName name="solver_ver" localSheetId="1" hidden="1">9</definedName>
    <definedName name="solver_ver" localSheetId="0" hidden="1">9</definedName>
    <definedName name="solver_vol" localSheetId="0" hidden="1">0</definedName>
    <definedName name="solveri_ISpPars_J12" localSheetId="0" hidden="1">"RiskSolver.UI.Charts.InputDlgPars:-1000001;1;1;29;11;39;72;0;90;80;0;0;0;0;"</definedName>
    <definedName name="solvero_CTrans_G23" localSheetId="0" hidden="1">"System.Int32:15"</definedName>
    <definedName name="solvero_CUseTr_G23" localSheetId="0" hidden="1">"System.Boolean:True"</definedName>
    <definedName name="temp">#REF!</definedName>
  </definedNames>
  <calcPr calcId="152511"/>
</workbook>
</file>

<file path=xl/calcChain.xml><?xml version="1.0" encoding="utf-8"?>
<calcChain xmlns="http://schemas.openxmlformats.org/spreadsheetml/2006/main">
  <c r="B14" i="4" l="1"/>
  <c r="B13" i="4"/>
  <c r="D18" i="1"/>
  <c r="D16" i="1"/>
  <c r="D14" i="1"/>
  <c r="D12" i="1"/>
  <c r="B11" i="1"/>
  <c r="B4" i="4"/>
  <c r="D21" i="1"/>
  <c r="D19" i="1"/>
  <c r="D17" i="1"/>
  <c r="D15" i="1"/>
  <c r="D13" i="1"/>
  <c r="D11" i="1"/>
  <c r="D22" i="1"/>
  <c r="B5" i="4"/>
  <c r="D20" i="1"/>
  <c r="B10" i="4" l="1"/>
  <c r="B9" i="4"/>
  <c r="E11" i="1"/>
  <c r="C11" i="1"/>
  <c r="B12" i="1"/>
  <c r="E12" i="1" l="1"/>
  <c r="C12" i="1"/>
  <c r="G11" i="1"/>
  <c r="B13" i="1"/>
  <c r="G12" i="1" l="1"/>
  <c r="E13" i="1"/>
  <c r="C13" i="1"/>
  <c r="B14" i="1"/>
  <c r="G13" i="1" l="1"/>
  <c r="E14" i="1"/>
  <c r="C14" i="1"/>
  <c r="B15" i="1"/>
  <c r="C15" i="1" l="1"/>
  <c r="E15" i="1"/>
  <c r="G14" i="1"/>
  <c r="B16" i="1"/>
  <c r="G15" i="1" l="1"/>
  <c r="C16" i="1"/>
  <c r="E16" i="1"/>
  <c r="B17" i="1"/>
  <c r="G16" i="1" l="1"/>
  <c r="C17" i="1"/>
  <c r="E17" i="1"/>
  <c r="B18" i="1"/>
  <c r="E18" i="1" l="1"/>
  <c r="C18" i="1"/>
  <c r="G17" i="1"/>
  <c r="B19" i="1"/>
  <c r="G18" i="1" l="1"/>
  <c r="C19" i="1"/>
  <c r="E19" i="1"/>
  <c r="B20" i="1"/>
  <c r="G19" i="1" l="1"/>
  <c r="C20" i="1"/>
  <c r="E20" i="1"/>
  <c r="B21" i="1"/>
  <c r="G20" i="1" l="1"/>
  <c r="C21" i="1"/>
  <c r="E21" i="1"/>
  <c r="B22" i="1"/>
  <c r="G21" i="1" l="1"/>
  <c r="C22" i="1"/>
  <c r="E22" i="1"/>
  <c r="G22" i="1" l="1"/>
  <c r="G23" i="1"/>
</calcChain>
</file>

<file path=xl/sharedStrings.xml><?xml version="1.0" encoding="utf-8"?>
<sst xmlns="http://schemas.openxmlformats.org/spreadsheetml/2006/main" count="34" uniqueCount="34">
  <si>
    <t>Initial Conditions:</t>
  </si>
  <si>
    <t>Assumptions:</t>
  </si>
  <si>
    <t xml:space="preserve"> Number of Covered Employees</t>
  </si>
  <si>
    <t xml:space="preserve"> Max Decrease</t>
  </si>
  <si>
    <t>Max Increase</t>
  </si>
  <si>
    <t>Uniform</t>
  </si>
  <si>
    <t xml:space="preserve"> Average Claim per Employee</t>
  </si>
  <si>
    <t xml:space="preserve"> Mthly Increase</t>
  </si>
  <si>
    <t>Std Dev</t>
  </si>
  <si>
    <t>Normal</t>
  </si>
  <si>
    <t xml:space="preserve"> Amount Contributed per Employee</t>
  </si>
  <si>
    <t xml:space="preserve"> Constant</t>
  </si>
  <si>
    <t>Number of</t>
  </si>
  <si>
    <t>Employee</t>
  </si>
  <si>
    <t>Avg Claim</t>
  </si>
  <si>
    <t>Total</t>
  </si>
  <si>
    <t>Company</t>
  </si>
  <si>
    <t>Month</t>
  </si>
  <si>
    <t>Employees</t>
  </si>
  <si>
    <t>Contributions</t>
  </si>
  <si>
    <t>per Emp.</t>
  </si>
  <si>
    <t>Claims</t>
  </si>
  <si>
    <t>Cost</t>
  </si>
  <si>
    <t>Total Company Cost</t>
  </si>
  <si>
    <t>Confidence Intervals</t>
  </si>
  <si>
    <t>Sample Mean</t>
  </si>
  <si>
    <t>Sample Standard Deviation</t>
  </si>
  <si>
    <t>Sample Size</t>
  </si>
  <si>
    <t>Significance Level</t>
  </si>
  <si>
    <t>95% LCL for the population mean</t>
  </si>
  <si>
    <t>95% UCL for the population mean</t>
  </si>
  <si>
    <t>Target Proportion</t>
  </si>
  <si>
    <t>95% Lower Confidence Limit</t>
  </si>
  <si>
    <t>95% Upper Confidence Limit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</si>
</sst>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5" formatCode="&quot;$&quot;#,##0_);\(&quot;$&quot;#,##0\)"/>
    <numFmt numFmtId="164" formatCode="&quot;$&quot;#,##0"/>
    <numFmt numFmtId="165" formatCode="&quot;$&quot;#,##0.00"/>
    <numFmt numFmtId="166" formatCode="0.0%"/>
    <numFmt numFmtId="167" formatCode="0.000"/>
  </numFmts>
  <fonts count="8" x14ac:knownFonts="1">
    <font>
      <sz val="10"/>
      <color theme="1"/>
      <name val="Arial"/>
      <family val="2"/>
    </font>
    <font>
      <sz val="10"/>
      <name val="Arial"/>
      <family val="2"/>
    </font>
    <font>
      <b/>
      <sz val="10"/>
      <name val="Arial"/>
      <family val="2"/>
    </font>
    <font>
      <b/>
      <sz val="10"/>
      <color indexed="8"/>
      <name val="Arial"/>
      <family val="2"/>
    </font>
    <font>
      <b/>
      <sz val="10"/>
      <color indexed="10"/>
      <name val="Arial"/>
      <family val="2"/>
    </font>
    <font>
      <b/>
      <sz val="10"/>
      <color indexed="12"/>
      <name val="Arial"/>
      <family val="2"/>
    </font>
    <font>
      <b/>
      <sz val="10"/>
      <color indexed="17"/>
      <name val="Arial"/>
      <family val="2"/>
    </font>
    <font>
      <sz val="10"/>
      <color theme="1"/>
      <name val="Arial"/>
      <family val="2"/>
    </font>
  </fonts>
  <fills count="2">
    <fill>
      <patternFill patternType="none"/>
    </fill>
    <fill>
      <patternFill patternType="gray125"/>
    </fill>
  </fills>
  <borders count="3">
    <border>
      <left/>
      <right/>
      <top/>
      <bottom/>
      <diagonal/>
    </border>
    <border>
      <left/>
      <right/>
      <top/>
      <bottom style="medium">
        <color indexed="64"/>
      </bottom>
      <diagonal/>
    </border>
    <border>
      <left/>
      <right/>
      <top style="medium">
        <color indexed="64"/>
      </top>
      <bottom/>
      <diagonal/>
    </border>
  </borders>
  <cellStyleXfs count="5">
    <xf numFmtId="0" fontId="0"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cellStyleXfs>
  <cellXfs count="28">
    <xf numFmtId="0" fontId="0" fillId="0" borderId="0" xfId="0"/>
    <xf numFmtId="0" fontId="1" fillId="0" borderId="0" xfId="2"/>
    <xf numFmtId="0" fontId="2" fillId="0" borderId="0" xfId="2" applyFont="1" applyAlignment="1" applyProtection="1">
      <alignment horizontal="left"/>
    </xf>
    <xf numFmtId="0" fontId="2" fillId="0" borderId="0" xfId="2" quotePrefix="1" applyFont="1" applyAlignment="1" applyProtection="1">
      <alignment horizontal="left"/>
    </xf>
    <xf numFmtId="0" fontId="3" fillId="0" borderId="0" xfId="2" applyFont="1" applyAlignment="1" applyProtection="1">
      <alignment horizontal="left"/>
    </xf>
    <xf numFmtId="0" fontId="2" fillId="0" borderId="0" xfId="2" applyFont="1" applyAlignment="1">
      <alignment horizontal="center"/>
    </xf>
    <xf numFmtId="0" fontId="2" fillId="0" borderId="0" xfId="2" applyFont="1" applyAlignment="1" applyProtection="1">
      <alignment horizontal="center"/>
    </xf>
    <xf numFmtId="0" fontId="2" fillId="0" borderId="1" xfId="2" applyFont="1" applyBorder="1" applyAlignment="1" applyProtection="1">
      <alignment horizontal="center"/>
    </xf>
    <xf numFmtId="0" fontId="2" fillId="0" borderId="1" xfId="2" applyFont="1" applyBorder="1" applyAlignment="1">
      <alignment horizontal="center"/>
    </xf>
    <xf numFmtId="0" fontId="1" fillId="0" borderId="2" xfId="2" applyBorder="1"/>
    <xf numFmtId="164" fontId="1" fillId="0" borderId="2" xfId="2" applyNumberFormat="1" applyBorder="1"/>
    <xf numFmtId="164" fontId="1" fillId="0" borderId="0" xfId="2" applyNumberFormat="1" applyAlignment="1">
      <alignment horizontal="center"/>
    </xf>
    <xf numFmtId="164" fontId="1" fillId="0" borderId="2" xfId="2" applyNumberFormat="1" applyBorder="1" applyAlignment="1">
      <alignment horizontal="center"/>
    </xf>
    <xf numFmtId="165" fontId="4" fillId="0" borderId="0" xfId="2" applyNumberFormat="1" applyFont="1" applyAlignment="1">
      <alignment horizontal="center"/>
    </xf>
    <xf numFmtId="164" fontId="5" fillId="0" borderId="2" xfId="2" applyNumberFormat="1" applyFont="1" applyBorder="1" applyAlignment="1">
      <alignment horizontal="center"/>
    </xf>
    <xf numFmtId="9" fontId="6" fillId="0" borderId="0" xfId="2" applyNumberFormat="1" applyFont="1" applyFill="1" applyBorder="1" applyAlignment="1" applyProtection="1">
      <alignment horizontal="center"/>
    </xf>
    <xf numFmtId="5" fontId="6" fillId="0" borderId="0" xfId="2" applyNumberFormat="1" applyFont="1" applyFill="1" applyBorder="1" applyAlignment="1" applyProtection="1">
      <alignment horizontal="center"/>
    </xf>
    <xf numFmtId="166" fontId="6" fillId="0" borderId="0" xfId="4" applyNumberFormat="1" applyFont="1" applyAlignment="1">
      <alignment horizontal="center"/>
    </xf>
    <xf numFmtId="164" fontId="6" fillId="0" borderId="0" xfId="2" applyNumberFormat="1" applyFont="1" applyAlignment="1">
      <alignment horizontal="center"/>
    </xf>
    <xf numFmtId="0" fontId="2" fillId="0" borderId="2" xfId="2" applyFont="1" applyBorder="1" applyAlignment="1">
      <alignment horizontal="right"/>
    </xf>
    <xf numFmtId="3" fontId="4" fillId="0" borderId="0" xfId="2" applyNumberFormat="1" applyFont="1" applyAlignment="1">
      <alignment horizontal="center"/>
    </xf>
    <xf numFmtId="0" fontId="1" fillId="0" borderId="0" xfId="1"/>
    <xf numFmtId="3" fontId="1" fillId="0" borderId="0" xfId="1" applyNumberFormat="1"/>
    <xf numFmtId="9" fontId="7" fillId="0" borderId="0" xfId="3" applyFont="1"/>
    <xf numFmtId="167" fontId="1" fillId="0" borderId="0" xfId="1" applyNumberFormat="1"/>
    <xf numFmtId="167" fontId="1" fillId="0" borderId="0" xfId="1" quotePrefix="1" applyNumberFormat="1"/>
    <xf numFmtId="3" fontId="6" fillId="0" borderId="0" xfId="2" applyNumberFormat="1" applyFont="1" applyAlignment="1">
      <alignment horizontal="center"/>
    </xf>
    <xf numFmtId="0" fontId="2" fillId="0" borderId="0" xfId="1" applyFont="1" applyAlignment="1">
      <alignment horizontal="center"/>
    </xf>
  </cellXfs>
  <cellStyles count="5">
    <cellStyle name="Normal" xfId="0" builtinId="0" customBuiltin="1"/>
    <cellStyle name="Normal 2" xfId="1"/>
    <cellStyle name="Normal 4" xfId="2"/>
    <cellStyle name="Percent 2" xfId="3"/>
    <cellStyle name="Percent 4"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519546</xdr:colOff>
      <xdr:row>0</xdr:row>
      <xdr:rowOff>112568</xdr:rowOff>
    </xdr:from>
    <xdr:to>
      <xdr:col>5</xdr:col>
      <xdr:colOff>252846</xdr:colOff>
      <xdr:row>2</xdr:row>
      <xdr:rowOff>131618</xdr:rowOff>
    </xdr:to>
    <xdr:sp macro="[0]!Toggle" textlink="">
      <xdr:nvSpPr>
        <xdr:cNvPr id="2" name="Text 2"/>
        <xdr:cNvSpPr>
          <a:spLocks noChangeArrowheads="1"/>
        </xdr:cNvSpPr>
      </xdr:nvSpPr>
      <xdr:spPr bwMode="auto">
        <a:xfrm>
          <a:off x="2078182" y="112568"/>
          <a:ext cx="2313709" cy="503959"/>
        </a:xfrm>
        <a:prstGeom prst="roundRect">
          <a:avLst>
            <a:gd name="adj" fmla="val 16667"/>
          </a:avLst>
        </a:prstGeom>
        <a:solidFill>
          <a:srgbClr val="00FFFF"/>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Hungry Dawg Restaurants</a:t>
          </a:r>
        </a:p>
      </xdr:txBody>
    </xdr:sp>
    <xdr:clientData/>
  </xdr:twoCellAnchor>
  <xdr:twoCellAnchor>
    <xdr:from>
      <xdr:col>7</xdr:col>
      <xdr:colOff>60615</xdr:colOff>
      <xdr:row>7</xdr:row>
      <xdr:rowOff>147204</xdr:rowOff>
    </xdr:from>
    <xdr:to>
      <xdr:col>12</xdr:col>
      <xdr:colOff>51955</xdr:colOff>
      <xdr:row>13</xdr:row>
      <xdr:rowOff>112569</xdr:rowOff>
    </xdr:to>
    <xdr:sp macro="" textlink="">
      <xdr:nvSpPr>
        <xdr:cNvPr id="4" name="Note" hidden="1"/>
        <xdr:cNvSpPr txBox="1">
          <a:spLocks noChangeArrowheads="1"/>
        </xdr:cNvSpPr>
      </xdr:nvSpPr>
      <xdr:spPr bwMode="auto">
        <a:xfrm>
          <a:off x="5212774" y="1298863"/>
          <a:ext cx="2762249" cy="952501"/>
        </a:xfrm>
        <a:prstGeom prst="rect">
          <a:avLst/>
        </a:prstGeom>
        <a:solidFill>
          <a:srgbClr val="FFFF00"/>
        </a:solidFill>
        <a:ln w="9525">
          <a:solidFill>
            <a:srgbClr val="000000"/>
          </a:solidFill>
          <a:miter lim="800000"/>
          <a:headEnd/>
          <a:tailEnd/>
        </a:ln>
        <a:effectLst>
          <a:outerShdw dist="35921" dir="2700000" algn="ctr" rotWithShape="0">
            <a:srgbClr val="000000"/>
          </a:outerShdw>
        </a:effectLst>
      </xdr:spPr>
      <xdr:txBody>
        <a:bodyPr vertOverflow="clip" wrap="square" lIns="27432" tIns="27432" rIns="0" bIns="0" anchor="t" upright="1"/>
        <a:lstStyle/>
        <a:p>
          <a:pPr algn="l" rtl="0">
            <a:defRPr sz="1000"/>
          </a:pPr>
          <a:r>
            <a:rPr lang="en-US" sz="1000" b="1" i="0" strike="noStrike">
              <a:solidFill>
                <a:srgbClr val="000000"/>
              </a:solidFill>
              <a:latin typeface="Courier New"/>
              <a:cs typeface="Courier New"/>
            </a:rPr>
            <a:t>This model uses RNGs (in the cells colored red) to randomly generate different cost scenarios that the company might face.  Note how the total company cost value (cell G23) changes when you press F9.</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4:I23"/>
  <sheetViews>
    <sheetView tabSelected="1" zoomScale="110" zoomScaleNormal="110" workbookViewId="0">
      <selection activeCell="N26" sqref="N26"/>
    </sheetView>
  </sheetViews>
  <sheetFormatPr defaultRowHeight="12.75" customHeight="1" x14ac:dyDescent="0.2"/>
  <cols>
    <col min="1" max="1" width="8.7109375" customWidth="1"/>
    <col min="2" max="2" width="10.85546875" bestFit="1" customWidth="1"/>
    <col min="3" max="3" width="13.7109375" bestFit="1" customWidth="1"/>
    <col min="4" max="4" width="10.28515625" bestFit="1" customWidth="1"/>
    <col min="5" max="5" width="15" bestFit="1" customWidth="1"/>
    <col min="6" max="6" width="5.42578125" customWidth="1"/>
    <col min="7" max="7" width="13.140625" bestFit="1" customWidth="1"/>
    <col min="8" max="8" width="5.140625" customWidth="1"/>
  </cols>
  <sheetData>
    <row r="4" spans="1:9" ht="12.75" customHeight="1" x14ac:dyDescent="0.2">
      <c r="A4" s="2" t="s">
        <v>0</v>
      </c>
      <c r="B4" s="1"/>
      <c r="C4" s="1"/>
      <c r="D4" s="1"/>
      <c r="E4" s="2" t="s">
        <v>1</v>
      </c>
      <c r="F4" s="1"/>
      <c r="G4" s="1"/>
      <c r="H4" s="1"/>
      <c r="I4" s="1"/>
    </row>
    <row r="5" spans="1:9" ht="12.75" customHeight="1" x14ac:dyDescent="0.2">
      <c r="A5" s="3" t="s">
        <v>2</v>
      </c>
      <c r="B5" s="1"/>
      <c r="C5" s="1"/>
      <c r="D5" s="26">
        <v>18533</v>
      </c>
      <c r="E5" s="4" t="s">
        <v>3</v>
      </c>
      <c r="F5" s="17">
        <v>0.03</v>
      </c>
      <c r="G5" s="2" t="s">
        <v>4</v>
      </c>
      <c r="H5" s="15">
        <v>7.0000000000000007E-2</v>
      </c>
      <c r="I5" s="2" t="s">
        <v>5</v>
      </c>
    </row>
    <row r="6" spans="1:9" ht="12.75" customHeight="1" x14ac:dyDescent="0.2">
      <c r="A6" s="3" t="s">
        <v>6</v>
      </c>
      <c r="B6" s="1"/>
      <c r="C6" s="1"/>
      <c r="D6" s="18">
        <v>250</v>
      </c>
      <c r="E6" s="4" t="s">
        <v>7</v>
      </c>
      <c r="F6" s="17">
        <v>0.01</v>
      </c>
      <c r="G6" s="2" t="s">
        <v>8</v>
      </c>
      <c r="H6" s="16">
        <v>3</v>
      </c>
      <c r="I6" s="2" t="s">
        <v>9</v>
      </c>
    </row>
    <row r="7" spans="1:9" ht="12.75" customHeight="1" x14ac:dyDescent="0.2">
      <c r="A7" s="3" t="s">
        <v>10</v>
      </c>
      <c r="B7" s="1"/>
      <c r="C7" s="1"/>
      <c r="D7" s="18">
        <v>125</v>
      </c>
      <c r="E7" s="4" t="s">
        <v>11</v>
      </c>
      <c r="F7" s="1"/>
      <c r="G7" s="1"/>
      <c r="H7" s="1"/>
      <c r="I7" s="1"/>
    </row>
    <row r="9" spans="1:9" ht="12.75" customHeight="1" x14ac:dyDescent="0.2">
      <c r="A9" s="5"/>
      <c r="B9" s="6" t="s">
        <v>12</v>
      </c>
      <c r="C9" s="6" t="s">
        <v>13</v>
      </c>
      <c r="D9" s="6" t="s">
        <v>14</v>
      </c>
      <c r="E9" s="6" t="s">
        <v>15</v>
      </c>
      <c r="F9" s="5"/>
      <c r="G9" s="6" t="s">
        <v>16</v>
      </c>
      <c r="H9" s="1"/>
      <c r="I9" s="1"/>
    </row>
    <row r="10" spans="1:9" ht="12.75" customHeight="1" thickBot="1" x14ac:dyDescent="0.25">
      <c r="A10" s="7" t="s">
        <v>17</v>
      </c>
      <c r="B10" s="7" t="s">
        <v>18</v>
      </c>
      <c r="C10" s="7" t="s">
        <v>19</v>
      </c>
      <c r="D10" s="7" t="s">
        <v>20</v>
      </c>
      <c r="E10" s="7" t="s">
        <v>21</v>
      </c>
      <c r="F10" s="8"/>
      <c r="G10" s="7" t="s">
        <v>22</v>
      </c>
      <c r="H10" s="1"/>
      <c r="I10" s="1"/>
    </row>
    <row r="11" spans="1:9" ht="12.75" customHeight="1" x14ac:dyDescent="0.2">
      <c r="A11" s="5">
        <v>1</v>
      </c>
      <c r="B11" s="20">
        <f ca="1">D5*_xll.PsiUniform(1-F5,1+H5)</f>
        <v>18120.776378804087</v>
      </c>
      <c r="C11" s="11">
        <f ca="1">B11*$D$7</f>
        <v>2265097.047350511</v>
      </c>
      <c r="D11" s="13">
        <f ca="1">_xll.PsiNormal($D$6*(1+$F$6)^A11,$H$6)</f>
        <v>247.40426642342334</v>
      </c>
      <c r="E11" s="11">
        <f ca="1">B11*D11</f>
        <v>4483157.3870209223</v>
      </c>
      <c r="F11" s="11"/>
      <c r="G11" s="11">
        <f ca="1">E11-C11</f>
        <v>2218060.3396704113</v>
      </c>
      <c r="H11" s="1"/>
      <c r="I11" s="1"/>
    </row>
    <row r="12" spans="1:9" ht="12.75" customHeight="1" x14ac:dyDescent="0.2">
      <c r="A12" s="5">
        <v>2</v>
      </c>
      <c r="B12" s="20">
        <f ca="1">B11*_xll.PsiUniform(1-$F$5,1+$H$5)</f>
        <v>18988.177796030326</v>
      </c>
      <c r="C12" s="11">
        <f t="shared" ref="C12:C22" ca="1" si="0">B12*$D$7</f>
        <v>2373522.224503791</v>
      </c>
      <c r="D12" s="13">
        <f ca="1">_xll.PsiNormal($D$6*(1+$F$6)^A12,$H$6)</f>
        <v>250.42741876423491</v>
      </c>
      <c r="E12" s="11">
        <f t="shared" ref="E12:E22" ca="1" si="1">B12*D12</f>
        <v>4755160.3524962338</v>
      </c>
      <c r="F12" s="11"/>
      <c r="G12" s="11">
        <f t="shared" ref="G12:G22" ca="1" si="2">E12-C12</f>
        <v>2381638.1279924428</v>
      </c>
      <c r="H12" s="1"/>
      <c r="I12" s="1"/>
    </row>
    <row r="13" spans="1:9" ht="12.75" customHeight="1" x14ac:dyDescent="0.2">
      <c r="A13" s="5">
        <v>3</v>
      </c>
      <c r="B13" s="20">
        <f ca="1">B12*_xll.PsiUniform(1-$F$5,1+$H$5)</f>
        <v>20288.399470264369</v>
      </c>
      <c r="C13" s="11">
        <f t="shared" ca="1" si="0"/>
        <v>2536049.933783046</v>
      </c>
      <c r="D13" s="13">
        <f ca="1">_xll.PsiNormal($D$6*(1+$F$6)^A13,$H$6)</f>
        <v>251.63330362681319</v>
      </c>
      <c r="E13" s="11">
        <f t="shared" ca="1" si="1"/>
        <v>5105236.9840031099</v>
      </c>
      <c r="F13" s="11"/>
      <c r="G13" s="11">
        <f t="shared" ca="1" si="2"/>
        <v>2569187.0502200639</v>
      </c>
      <c r="H13" s="1"/>
      <c r="I13" s="1"/>
    </row>
    <row r="14" spans="1:9" ht="12.75" customHeight="1" x14ac:dyDescent="0.2">
      <c r="A14" s="5">
        <v>4</v>
      </c>
      <c r="B14" s="20">
        <f ca="1">B13*_xll.PsiUniform(1-$F$5,1+$H$5)</f>
        <v>19763.393733289748</v>
      </c>
      <c r="C14" s="11">
        <f t="shared" ca="1" si="0"/>
        <v>2470424.2166612186</v>
      </c>
      <c r="D14" s="13">
        <f ca="1">_xll.PsiNormal($D$6*(1+$F$6)^A14,$H$6)</f>
        <v>264.32116629020851</v>
      </c>
      <c r="E14" s="11">
        <f t="shared" ca="1" si="1"/>
        <v>5223883.2814357439</v>
      </c>
      <c r="F14" s="11"/>
      <c r="G14" s="11">
        <f t="shared" ca="1" si="2"/>
        <v>2753459.0647745254</v>
      </c>
      <c r="H14" s="1"/>
      <c r="I14" s="1"/>
    </row>
    <row r="15" spans="1:9" ht="12.75" customHeight="1" x14ac:dyDescent="0.2">
      <c r="A15" s="5">
        <v>5</v>
      </c>
      <c r="B15" s="20">
        <f ca="1">B14*_xll.PsiUniform(1-$F$5,1+$H$5)</f>
        <v>21107.958686830563</v>
      </c>
      <c r="C15" s="11">
        <f t="shared" ca="1" si="0"/>
        <v>2638494.8358538202</v>
      </c>
      <c r="D15" s="13">
        <f ca="1">_xll.PsiNormal($D$6*(1+$F$6)^A15,$H$6)</f>
        <v>263.47897748775279</v>
      </c>
      <c r="E15" s="11">
        <f t="shared" ca="1" si="1"/>
        <v>5561503.371659846</v>
      </c>
      <c r="F15" s="11"/>
      <c r="G15" s="11">
        <f t="shared" ca="1" si="2"/>
        <v>2923008.5358060258</v>
      </c>
      <c r="H15" s="1"/>
      <c r="I15" s="1"/>
    </row>
    <row r="16" spans="1:9" ht="12.75" customHeight="1" x14ac:dyDescent="0.2">
      <c r="A16" s="5">
        <v>6</v>
      </c>
      <c r="B16" s="20">
        <f ca="1">B15*_xll.PsiUniform(1-$F$5,1+$H$5)</f>
        <v>22098.174407439106</v>
      </c>
      <c r="C16" s="11">
        <f t="shared" ca="1" si="0"/>
        <v>2762271.8009298882</v>
      </c>
      <c r="D16" s="13">
        <f ca="1">_xll.PsiNormal($D$6*(1+$F$6)^A16,$H$6)</f>
        <v>267.88677108786663</v>
      </c>
      <c r="E16" s="11">
        <f t="shared" ca="1" si="1"/>
        <v>5919808.5889453925</v>
      </c>
      <c r="F16" s="11"/>
      <c r="G16" s="11">
        <f t="shared" ca="1" si="2"/>
        <v>3157536.7880155044</v>
      </c>
      <c r="H16" s="1"/>
      <c r="I16" s="1"/>
    </row>
    <row r="17" spans="1:7" ht="12.75" customHeight="1" x14ac:dyDescent="0.2">
      <c r="A17" s="5">
        <v>7</v>
      </c>
      <c r="B17" s="20">
        <f ca="1">B16*_xll.PsiUniform(1-$F$5,1+$H$5)</f>
        <v>23000.92417122917</v>
      </c>
      <c r="C17" s="11">
        <f t="shared" ca="1" si="0"/>
        <v>2875115.5214036461</v>
      </c>
      <c r="D17" s="13">
        <f ca="1">_xll.PsiNormal($D$6*(1+$F$6)^A17,$H$6)</f>
        <v>265.85741353301211</v>
      </c>
      <c r="E17" s="11">
        <f t="shared" ca="1" si="1"/>
        <v>6114966.2090319274</v>
      </c>
      <c r="F17" s="11"/>
      <c r="G17" s="11">
        <f t="shared" ca="1" si="2"/>
        <v>3239850.6876282813</v>
      </c>
    </row>
    <row r="18" spans="1:7" ht="12.75" customHeight="1" x14ac:dyDescent="0.2">
      <c r="A18" s="5">
        <v>8</v>
      </c>
      <c r="B18" s="20">
        <f ca="1">B17*_xll.PsiUniform(1-$F$5,1+$H$5)</f>
        <v>22986.070454511722</v>
      </c>
      <c r="C18" s="11">
        <f t="shared" ca="1" si="0"/>
        <v>2873258.8068139651</v>
      </c>
      <c r="D18" s="13">
        <f ca="1">_xll.PsiNormal($D$6*(1+$F$6)^A18,$H$6)</f>
        <v>268.98570813450647</v>
      </c>
      <c r="E18" s="11">
        <f t="shared" ca="1" si="1"/>
        <v>6182924.4384364923</v>
      </c>
      <c r="F18" s="11"/>
      <c r="G18" s="11">
        <f t="shared" ca="1" si="2"/>
        <v>3309665.6316225273</v>
      </c>
    </row>
    <row r="19" spans="1:7" ht="12.75" customHeight="1" x14ac:dyDescent="0.2">
      <c r="A19" s="5">
        <v>9</v>
      </c>
      <c r="B19" s="20">
        <f ca="1">B18*_xll.PsiUniform(1-$F$5,1+$H$5)</f>
        <v>22415.846950794079</v>
      </c>
      <c r="C19" s="11">
        <f t="shared" ca="1" si="0"/>
        <v>2801980.8688492598</v>
      </c>
      <c r="D19" s="13">
        <f ca="1">_xll.PsiNormal($D$6*(1+$F$6)^A19,$H$6)</f>
        <v>272.79901897376249</v>
      </c>
      <c r="E19" s="11">
        <f t="shared" ca="1" si="1"/>
        <v>6115021.0576426303</v>
      </c>
      <c r="F19" s="11"/>
      <c r="G19" s="11">
        <f t="shared" ca="1" si="2"/>
        <v>3313040.1887933705</v>
      </c>
    </row>
    <row r="20" spans="1:7" ht="12.75" customHeight="1" x14ac:dyDescent="0.2">
      <c r="A20" s="5">
        <v>10</v>
      </c>
      <c r="B20" s="20">
        <f ca="1">B19*_xll.PsiUniform(1-$F$5,1+$H$5)</f>
        <v>23201.867309322493</v>
      </c>
      <c r="C20" s="11">
        <f t="shared" ca="1" si="0"/>
        <v>2900233.4136653119</v>
      </c>
      <c r="D20" s="13">
        <f ca="1">_xll.PsiNormal($D$6*(1+$F$6)^A20,$H$6)</f>
        <v>277.14296619236956</v>
      </c>
      <c r="E20" s="11">
        <f t="shared" ca="1" si="1"/>
        <v>6430234.3273074077</v>
      </c>
      <c r="F20" s="11"/>
      <c r="G20" s="11">
        <f t="shared" ca="1" si="2"/>
        <v>3530000.9136420959</v>
      </c>
    </row>
    <row r="21" spans="1:7" ht="12.75" customHeight="1" x14ac:dyDescent="0.2">
      <c r="A21" s="5">
        <v>11</v>
      </c>
      <c r="B21" s="20">
        <f ca="1">B20*_xll.PsiUniform(1-$F$5,1+$H$5)</f>
        <v>23776.326334342699</v>
      </c>
      <c r="C21" s="11">
        <f t="shared" ca="1" si="0"/>
        <v>2972040.7917928374</v>
      </c>
      <c r="D21" s="13">
        <f ca="1">_xll.PsiNormal($D$6*(1+$F$6)^A21,$H$6)</f>
        <v>285.27779022921482</v>
      </c>
      <c r="E21" s="11">
        <f t="shared" ca="1" si="1"/>
        <v>6782857.8364299722</v>
      </c>
      <c r="F21" s="11"/>
      <c r="G21" s="11">
        <f t="shared" ca="1" si="2"/>
        <v>3810817.0446371348</v>
      </c>
    </row>
    <row r="22" spans="1:7" ht="12.75" customHeight="1" thickBot="1" x14ac:dyDescent="0.25">
      <c r="A22" s="5">
        <v>12</v>
      </c>
      <c r="B22" s="20">
        <f ca="1">B21*_xll.PsiUniform(1-$F$5,1+$H$5)</f>
        <v>24608.093946120505</v>
      </c>
      <c r="C22" s="11">
        <f t="shared" ca="1" si="0"/>
        <v>3076011.743265063</v>
      </c>
      <c r="D22" s="13">
        <f ca="1">_xll.PsiNormal($D$6*(1+$F$6)^A22,$H$6)</f>
        <v>284.71017217297049</v>
      </c>
      <c r="E22" s="11">
        <f t="shared" ca="1" si="1"/>
        <v>7006174.6642486015</v>
      </c>
      <c r="F22" s="11"/>
      <c r="G22" s="11">
        <f t="shared" ca="1" si="2"/>
        <v>3930162.9209835385</v>
      </c>
    </row>
    <row r="23" spans="1:7" ht="12.75" customHeight="1" x14ac:dyDescent="0.2">
      <c r="A23" s="9"/>
      <c r="B23" s="10"/>
      <c r="C23" s="12"/>
      <c r="D23" s="12"/>
      <c r="E23" s="12"/>
      <c r="F23" s="19" t="s">
        <v>23</v>
      </c>
      <c r="G23" s="14">
        <f ca="1">SUM(G11:G22) + _xll.PsiOutput()</f>
        <v>37136427.29378593</v>
      </c>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F14"/>
  <sheetViews>
    <sheetView zoomScale="110" zoomScaleNormal="110" workbookViewId="0">
      <selection activeCell="M18" sqref="M18"/>
    </sheetView>
  </sheetViews>
  <sheetFormatPr defaultRowHeight="12.75" x14ac:dyDescent="0.2"/>
  <cols>
    <col min="1" max="1" width="28.7109375" style="21" customWidth="1"/>
    <col min="2" max="2" width="11.140625" style="21" customWidth="1"/>
    <col min="3" max="5" width="9.140625" style="21"/>
    <col min="6" max="6" width="9.28515625" style="21" bestFit="1" customWidth="1"/>
    <col min="7" max="16384" width="9.140625" style="21"/>
  </cols>
  <sheetData>
    <row r="2" spans="1:6" x14ac:dyDescent="0.2">
      <c r="A2" s="27" t="s">
        <v>24</v>
      </c>
      <c r="B2" s="27"/>
    </row>
    <row r="4" spans="1:6" x14ac:dyDescent="0.2">
      <c r="A4" s="21" t="s">
        <v>25</v>
      </c>
      <c r="B4" s="22" t="e">
        <f ca="1">_xll.PsiMean('Health Claims Model'!G23)</f>
        <v>#N/A</v>
      </c>
    </row>
    <row r="5" spans="1:6" x14ac:dyDescent="0.2">
      <c r="A5" s="21" t="s">
        <v>26</v>
      </c>
      <c r="B5" s="22" t="e">
        <f ca="1">_xll.PsiStdDev('Health Claims Model'!G23)</f>
        <v>#N/A</v>
      </c>
      <c r="F5" s="22"/>
    </row>
    <row r="6" spans="1:6" x14ac:dyDescent="0.2">
      <c r="A6" s="21" t="s">
        <v>27</v>
      </c>
      <c r="B6" s="21">
        <v>5000</v>
      </c>
    </row>
    <row r="7" spans="1:6" x14ac:dyDescent="0.2">
      <c r="A7" s="21" t="s">
        <v>28</v>
      </c>
      <c r="B7" s="23">
        <v>0.05</v>
      </c>
    </row>
    <row r="9" spans="1:6" x14ac:dyDescent="0.2">
      <c r="A9" s="21" t="s">
        <v>29</v>
      </c>
      <c r="B9" s="22" t="e">
        <f ca="1">B4-NORMSINV(1-B7/2)*B5/SQRT(B6)</f>
        <v>#N/A</v>
      </c>
      <c r="C9" s="22"/>
    </row>
    <row r="10" spans="1:6" x14ac:dyDescent="0.2">
      <c r="A10" s="21" t="s">
        <v>30</v>
      </c>
      <c r="B10" s="22" t="e">
        <f ca="1">B4+NORMSINV(1-B7/2)*B5/SQRT(B6)</f>
        <v>#N/A</v>
      </c>
    </row>
    <row r="12" spans="1:6" x14ac:dyDescent="0.2">
      <c r="A12" s="21" t="s">
        <v>31</v>
      </c>
      <c r="B12" s="24">
        <v>0.9</v>
      </c>
    </row>
    <row r="13" spans="1:6" x14ac:dyDescent="0.2">
      <c r="A13" s="21" t="s">
        <v>32</v>
      </c>
      <c r="B13" s="25">
        <f>B12-NORMSINV(1-B7/2)*SQRT((B12*(1-B12))/B6)</f>
        <v>0.89168457705390192</v>
      </c>
    </row>
    <row r="14" spans="1:6" x14ac:dyDescent="0.2">
      <c r="A14" s="21" t="s">
        <v>33</v>
      </c>
      <c r="B14" s="24">
        <f>B12+NORMSINV(1-B7/2)*SQRT((B12*(1-B12))/B6)</f>
        <v>0.90831542294609813</v>
      </c>
    </row>
  </sheetData>
  <mergeCells count="1">
    <mergeCell ref="A2:B2"/>
  </mergeCells>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Health Claims Model</vt:lpstr>
      <vt:lpstr>Confidence Intervals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dc:creator>
  <cp:lastModifiedBy>Cliff Ragsdale</cp:lastModifiedBy>
  <dcterms:created xsi:type="dcterms:W3CDTF">2009-01-05T18:51:56Z</dcterms:created>
  <dcterms:modified xsi:type="dcterms:W3CDTF">2013-11-28T17:10:22Z</dcterms:modified>
</cp:coreProperties>
</file>