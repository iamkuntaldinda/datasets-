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DA\Dropbox\SMDA\SMDA 7ed\SMDA 7ed Data Files\Chapter 12\"/>
    </mc:Choice>
  </mc:AlternateContent>
  <bookViews>
    <workbookView xWindow="-15" yWindow="-15" windowWidth="9630" windowHeight="5190" firstSheet="1" activeTab="1"/>
  </bookViews>
  <sheets>
    <sheet name="Module1" sheetId="1" state="veryHidden" r:id=""/>
    <sheet name="Health Claims Projection" sheetId="2" r:id="rId1"/>
  </sheets>
  <definedNames>
    <definedName name="_Regression_Int" localSheetId="1" hidden="1">1</definedName>
    <definedName name="G22_">'Health Claims Projection'!$G$23</definedName>
  </definedNames>
  <calcPr calcId="152511"/>
</workbook>
</file>

<file path=xl/calcChain.xml><?xml version="1.0" encoding="utf-8"?>
<calcChain xmlns="http://schemas.openxmlformats.org/spreadsheetml/2006/main">
  <c r="D11" i="2" l="1"/>
  <c r="B11" i="2"/>
  <c r="C11" i="2" s="1"/>
  <c r="D12" i="2"/>
  <c r="B12" i="2"/>
  <c r="C12" i="2"/>
  <c r="D13" i="2"/>
  <c r="E13" i="2" s="1"/>
  <c r="B13" i="2"/>
  <c r="C13" i="2" s="1"/>
  <c r="D14" i="2"/>
  <c r="B14" i="2"/>
  <c r="E14" i="2" s="1"/>
  <c r="D15" i="2"/>
  <c r="B15" i="2"/>
  <c r="C15" i="2" s="1"/>
  <c r="E15" i="2"/>
  <c r="D16" i="2"/>
  <c r="B16" i="2"/>
  <c r="E16" i="2" s="1"/>
  <c r="C16" i="2"/>
  <c r="D17" i="2"/>
  <c r="B17" i="2"/>
  <c r="E17" i="2"/>
  <c r="C17" i="2"/>
  <c r="D18" i="2"/>
  <c r="B18" i="2"/>
  <c r="E18" i="2" s="1"/>
  <c r="C18" i="2"/>
  <c r="D19" i="2"/>
  <c r="E19" i="2" s="1"/>
  <c r="G19" i="2" s="1"/>
  <c r="B19" i="2"/>
  <c r="C19" i="2"/>
  <c r="D20" i="2"/>
  <c r="B20" i="2"/>
  <c r="C20" i="2"/>
  <c r="D21" i="2"/>
  <c r="E21" i="2" s="1"/>
  <c r="B21" i="2"/>
  <c r="C21" i="2" s="1"/>
  <c r="D22" i="2"/>
  <c r="B22" i="2"/>
  <c r="E22" i="2" s="1"/>
  <c r="G13" i="2" l="1"/>
  <c r="G21" i="2"/>
  <c r="G22" i="2"/>
  <c r="G17" i="2"/>
  <c r="C22" i="2"/>
  <c r="E20" i="2"/>
  <c r="G20" i="2" s="1"/>
  <c r="C14" i="2"/>
  <c r="G14" i="2" s="1"/>
  <c r="G23" i="2" s="1"/>
  <c r="E12" i="2"/>
  <c r="G12" i="2" s="1"/>
  <c r="G15" i="2"/>
  <c r="G16" i="2"/>
  <c r="G18" i="2"/>
  <c r="E11" i="2"/>
  <c r="G11" i="2" s="1"/>
</calcChain>
</file>

<file path=xl/sharedStrings.xml><?xml version="1.0" encoding="utf-8"?>
<sst xmlns="http://schemas.openxmlformats.org/spreadsheetml/2006/main" count="22" uniqueCount="20">
  <si>
    <t xml:space="preserve"> per month</t>
  </si>
  <si>
    <t>Number of</t>
  </si>
  <si>
    <t>Employee</t>
  </si>
  <si>
    <t>Avg Claim</t>
  </si>
  <si>
    <t>Total</t>
  </si>
  <si>
    <t>Company</t>
  </si>
  <si>
    <t>Month</t>
  </si>
  <si>
    <t>Employees</t>
  </si>
  <si>
    <t>Contributions</t>
  </si>
  <si>
    <t>per Emp.</t>
  </si>
  <si>
    <t>Claims</t>
  </si>
  <si>
    <t>Cost</t>
  </si>
  <si>
    <t>Total Company Cost</t>
  </si>
  <si>
    <t>Initial Conditions</t>
  </si>
  <si>
    <t>Assumptions</t>
  </si>
  <si>
    <t xml:space="preserve">  Number of Covered Employees</t>
  </si>
  <si>
    <t xml:space="preserve">  Average Claim per Employee</t>
  </si>
  <si>
    <t xml:space="preserve">  Amount Contributed per Employee</t>
  </si>
  <si>
    <t xml:space="preserve">  Increasing</t>
  </si>
  <si>
    <t xml:space="preserve">  Constant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</si>
</sst>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&quot;$&quot;#,##0_);\(&quot;$&quot;#,##0\)"/>
    <numFmt numFmtId="7" formatCode="&quot;$&quot;#,##0.00_);\(&quot;$&quot;#,##0.00\)"/>
    <numFmt numFmtId="164" formatCode="General_)"/>
    <numFmt numFmtId="165" formatCode="0_)"/>
    <numFmt numFmtId="166" formatCode="0.000_)"/>
  </numFmts>
  <fonts count="6" x14ac:knownFonts="1">
    <font>
      <sz val="10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164" fontId="0" fillId="0" borderId="0"/>
  </cellStyleXfs>
  <cellXfs count="27">
    <xf numFmtId="164" fontId="0" fillId="0" borderId="0" xfId="0"/>
    <xf numFmtId="164" fontId="2" fillId="0" borderId="0" xfId="0" applyFont="1" applyAlignment="1" applyProtection="1">
      <alignment horizontal="left"/>
    </xf>
    <xf numFmtId="164" fontId="3" fillId="0" borderId="0" xfId="0" applyFont="1"/>
    <xf numFmtId="164" fontId="3" fillId="0" borderId="0" xfId="0" applyFont="1" applyAlignment="1" applyProtection="1">
      <alignment horizontal="left"/>
    </xf>
    <xf numFmtId="164" fontId="3" fillId="0" borderId="0" xfId="0" applyFont="1" applyProtection="1"/>
    <xf numFmtId="164" fontId="2" fillId="0" borderId="0" xfId="0" applyFont="1" applyAlignment="1">
      <alignment horizontal="center"/>
    </xf>
    <xf numFmtId="164" fontId="2" fillId="0" borderId="0" xfId="0" applyFont="1" applyAlignment="1" applyProtection="1">
      <alignment horizontal="center"/>
    </xf>
    <xf numFmtId="37" fontId="3" fillId="0" borderId="0" xfId="0" applyNumberFormat="1" applyFont="1" applyAlignment="1" applyProtection="1">
      <alignment horizontal="center"/>
    </xf>
    <xf numFmtId="5" fontId="3" fillId="0" borderId="0" xfId="0" applyNumberFormat="1" applyFont="1" applyAlignment="1" applyProtection="1">
      <alignment horizontal="center"/>
    </xf>
    <xf numFmtId="7" fontId="3" fillId="0" borderId="0" xfId="0" applyNumberFormat="1" applyFont="1" applyAlignment="1" applyProtection="1">
      <alignment horizontal="center"/>
    </xf>
    <xf numFmtId="164" fontId="3" fillId="0" borderId="0" xfId="0" applyFont="1" applyAlignment="1">
      <alignment horizontal="center"/>
    </xf>
    <xf numFmtId="165" fontId="3" fillId="0" borderId="0" xfId="0" applyNumberFormat="1" applyFont="1" applyProtection="1"/>
    <xf numFmtId="164" fontId="3" fillId="0" borderId="0" xfId="0" applyFont="1" applyAlignment="1" applyProtection="1">
      <alignment horizontal="fill"/>
    </xf>
    <xf numFmtId="166" fontId="3" fillId="0" borderId="0" xfId="0" applyNumberFormat="1" applyFont="1" applyProtection="1"/>
    <xf numFmtId="164" fontId="3" fillId="0" borderId="0" xfId="0" applyFont="1" applyAlignment="1" applyProtection="1">
      <alignment horizontal="center"/>
    </xf>
    <xf numFmtId="164" fontId="2" fillId="0" borderId="1" xfId="0" applyFont="1" applyBorder="1" applyAlignment="1" applyProtection="1">
      <alignment horizontal="center"/>
    </xf>
    <xf numFmtId="164" fontId="2" fillId="0" borderId="1" xfId="0" applyFont="1" applyBorder="1" applyAlignment="1">
      <alignment horizontal="center"/>
    </xf>
    <xf numFmtId="164" fontId="3" fillId="0" borderId="1" xfId="0" applyFont="1" applyBorder="1" applyAlignment="1" applyProtection="1">
      <alignment horizontal="center"/>
    </xf>
    <xf numFmtId="37" fontId="3" fillId="0" borderId="1" xfId="0" applyNumberFormat="1" applyFont="1" applyBorder="1" applyAlignment="1" applyProtection="1">
      <alignment horizontal="center"/>
    </xf>
    <xf numFmtId="5" fontId="3" fillId="0" borderId="1" xfId="0" applyNumberFormat="1" applyFont="1" applyBorder="1" applyAlignment="1" applyProtection="1">
      <alignment horizontal="center"/>
    </xf>
    <xf numFmtId="7" fontId="3" fillId="0" borderId="1" xfId="0" applyNumberFormat="1" applyFont="1" applyBorder="1" applyAlignment="1" applyProtection="1">
      <alignment horizontal="center"/>
    </xf>
    <xf numFmtId="164" fontId="3" fillId="0" borderId="1" xfId="0" applyFont="1" applyBorder="1" applyAlignment="1">
      <alignment horizontal="center"/>
    </xf>
    <xf numFmtId="164" fontId="1" fillId="0" borderId="0" xfId="0" applyFont="1" applyAlignment="1">
      <alignment horizontal="right"/>
    </xf>
    <xf numFmtId="37" fontId="4" fillId="0" borderId="0" xfId="0" applyNumberFormat="1" applyFont="1" applyFill="1" applyBorder="1" applyAlignment="1" applyProtection="1">
      <alignment horizontal="center"/>
    </xf>
    <xf numFmtId="5" fontId="4" fillId="0" borderId="0" xfId="0" applyNumberFormat="1" applyFont="1" applyFill="1" applyBorder="1" applyAlignment="1" applyProtection="1">
      <alignment horizontal="center"/>
    </xf>
    <xf numFmtId="9" fontId="4" fillId="0" borderId="0" xfId="0" applyNumberFormat="1" applyFont="1" applyFill="1" applyBorder="1" applyProtection="1"/>
    <xf numFmtId="5" fontId="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0</xdr:row>
      <xdr:rowOff>76200</xdr:rowOff>
    </xdr:from>
    <xdr:to>
      <xdr:col>4</xdr:col>
      <xdr:colOff>638175</xdr:colOff>
      <xdr:row>2</xdr:row>
      <xdr:rowOff>95250</xdr:rowOff>
    </xdr:to>
    <xdr:sp macro="[0]!Toggle" textlink="">
      <xdr:nvSpPr>
        <xdr:cNvPr id="1025" name="Text 1"/>
        <xdr:cNvSpPr>
          <a:spLocks noChangeArrowheads="1"/>
        </xdr:cNvSpPr>
      </xdr:nvSpPr>
      <xdr:spPr bwMode="auto">
        <a:xfrm>
          <a:off x="1533525" y="76200"/>
          <a:ext cx="2162175" cy="34290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Hungry Dawg Restaurants</a:t>
          </a:r>
        </a:p>
      </xdr:txBody>
    </xdr:sp>
    <xdr:clientData/>
  </xdr:twoCellAnchor>
  <xdr:twoCellAnchor>
    <xdr:from>
      <xdr:col>0</xdr:col>
      <xdr:colOff>66675</xdr:colOff>
      <xdr:row>11</xdr:row>
      <xdr:rowOff>19050</xdr:rowOff>
    </xdr:from>
    <xdr:to>
      <xdr:col>4</xdr:col>
      <xdr:colOff>76200</xdr:colOff>
      <xdr:row>21</xdr:row>
      <xdr:rowOff>45358</xdr:rowOff>
    </xdr:to>
    <xdr:sp macro="" textlink="">
      <xdr:nvSpPr>
        <xdr:cNvPr id="1026" name="Note" hidden="1"/>
        <xdr:cNvSpPr txBox="1">
          <a:spLocks noChangeArrowheads="1"/>
        </xdr:cNvSpPr>
      </xdr:nvSpPr>
      <xdr:spPr bwMode="auto">
        <a:xfrm>
          <a:off x="66675" y="1824264"/>
          <a:ext cx="3066596" cy="165916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This model shows a single, unchanging scenario.  </a:t>
          </a:r>
        </a:p>
        <a:p>
          <a:pPr algn="l" rtl="0">
            <a:defRPr sz="1000"/>
          </a:pPr>
          <a:endParaRPr lang="en-US" sz="1000" b="1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What is the probability of the total company cost being less than the number shown here (in G23)?  </a:t>
          </a:r>
        </a:p>
        <a:p>
          <a:pPr algn="l" rtl="0">
            <a:defRPr sz="1000"/>
          </a:pPr>
          <a:endParaRPr lang="en-US" sz="1000" b="1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What is the probability of the actual cost exceeding, say, $40 million?  </a:t>
          </a:r>
        </a:p>
        <a:p>
          <a:pPr algn="l" rtl="0">
            <a:defRPr sz="1000"/>
          </a:pPr>
          <a:endParaRPr lang="en-US" sz="1000" b="1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We can't answer these types of questions with this model.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codeName="Sheet1"/>
  <dimension ref="A2:H28"/>
  <sheetViews>
    <sheetView tabSelected="1" zoomScale="110" zoomScaleNormal="110" workbookViewId="0">
      <selection activeCell="M27" sqref="M27"/>
    </sheetView>
  </sheetViews>
  <sheetFormatPr defaultColWidth="9.7109375" defaultRowHeight="12.75" x14ac:dyDescent="0.2"/>
  <cols>
    <col min="1" max="1" width="7.42578125" style="2" customWidth="1"/>
    <col min="2" max="2" width="12.28515625" style="2" customWidth="1"/>
    <col min="3" max="3" width="14.42578125" style="2" customWidth="1"/>
    <col min="4" max="4" width="11.7109375" style="2" customWidth="1"/>
    <col min="5" max="5" width="15.140625" style="2" customWidth="1"/>
    <col min="6" max="6" width="3.42578125" style="2" customWidth="1"/>
    <col min="7" max="7" width="13.5703125" style="2" customWidth="1"/>
    <col min="8" max="8" width="14.7109375" style="2" customWidth="1"/>
    <col min="9" max="16384" width="9.7109375" style="2"/>
  </cols>
  <sheetData>
    <row r="2" spans="1:8" x14ac:dyDescent="0.2">
      <c r="G2"/>
    </row>
    <row r="4" spans="1:8" x14ac:dyDescent="0.2">
      <c r="A4" s="1" t="s">
        <v>13</v>
      </c>
      <c r="E4" s="1" t="s">
        <v>14</v>
      </c>
      <c r="H4" s="3"/>
    </row>
    <row r="5" spans="1:8" x14ac:dyDescent="0.2">
      <c r="A5" s="1" t="s">
        <v>15</v>
      </c>
      <c r="D5" s="23">
        <v>18533</v>
      </c>
      <c r="E5" s="1" t="s">
        <v>18</v>
      </c>
      <c r="F5" s="25">
        <v>0.02</v>
      </c>
      <c r="G5" s="1" t="s">
        <v>0</v>
      </c>
      <c r="H5" s="3"/>
    </row>
    <row r="6" spans="1:8" x14ac:dyDescent="0.2">
      <c r="A6" s="1" t="s">
        <v>16</v>
      </c>
      <c r="D6" s="24">
        <v>250</v>
      </c>
      <c r="E6" s="1" t="s">
        <v>18</v>
      </c>
      <c r="F6" s="25">
        <v>0.01</v>
      </c>
      <c r="G6" s="1" t="s">
        <v>0</v>
      </c>
      <c r="H6" s="3"/>
    </row>
    <row r="7" spans="1:8" x14ac:dyDescent="0.2">
      <c r="A7" s="1" t="s">
        <v>17</v>
      </c>
      <c r="D7" s="24">
        <v>125</v>
      </c>
      <c r="E7" s="1" t="s">
        <v>19</v>
      </c>
      <c r="H7" s="3"/>
    </row>
    <row r="8" spans="1:8" x14ac:dyDescent="0.2">
      <c r="H8" s="4"/>
    </row>
    <row r="9" spans="1:8" x14ac:dyDescent="0.2">
      <c r="A9" s="5"/>
      <c r="B9" s="6" t="s">
        <v>1</v>
      </c>
      <c r="C9" s="6" t="s">
        <v>2</v>
      </c>
      <c r="D9" s="6" t="s">
        <v>3</v>
      </c>
      <c r="E9" s="6" t="s">
        <v>4</v>
      </c>
      <c r="F9" s="5"/>
      <c r="G9" s="6" t="s">
        <v>5</v>
      </c>
      <c r="H9" s="4"/>
    </row>
    <row r="10" spans="1:8" ht="13.5" thickBot="1" x14ac:dyDescent="0.25">
      <c r="A10" s="15" t="s">
        <v>6</v>
      </c>
      <c r="B10" s="15" t="s">
        <v>7</v>
      </c>
      <c r="C10" s="15" t="s">
        <v>8</v>
      </c>
      <c r="D10" s="15" t="s">
        <v>9</v>
      </c>
      <c r="E10" s="15" t="s">
        <v>10</v>
      </c>
      <c r="F10" s="16"/>
      <c r="G10" s="15" t="s">
        <v>11</v>
      </c>
      <c r="H10" s="4"/>
    </row>
    <row r="11" spans="1:8" x14ac:dyDescent="0.2">
      <c r="A11" s="14">
        <v>1</v>
      </c>
      <c r="B11" s="7">
        <f t="shared" ref="B11:B22" si="0">$D$5*(1+$F$5)^A11</f>
        <v>18903.66</v>
      </c>
      <c r="C11" s="8">
        <f t="shared" ref="C11:C22" si="1">$D$7*B11</f>
        <v>2362957.5</v>
      </c>
      <c r="D11" s="9">
        <f t="shared" ref="D11:D22" si="2">$D$6*(1+$F$6)^A11</f>
        <v>252.5</v>
      </c>
      <c r="E11" s="8">
        <f t="shared" ref="E11:E22" si="3">D11*B11</f>
        <v>4773174.1500000004</v>
      </c>
      <c r="F11" s="10"/>
      <c r="G11" s="8">
        <f t="shared" ref="G11:G22" si="4">E11-C11</f>
        <v>2410216.6500000004</v>
      </c>
      <c r="H11" s="4"/>
    </row>
    <row r="12" spans="1:8" x14ac:dyDescent="0.2">
      <c r="A12" s="14">
        <v>2</v>
      </c>
      <c r="B12" s="7">
        <f t="shared" si="0"/>
        <v>19281.733199999999</v>
      </c>
      <c r="C12" s="8">
        <f t="shared" si="1"/>
        <v>2410216.65</v>
      </c>
      <c r="D12" s="9">
        <f t="shared" si="2"/>
        <v>255.02500000000001</v>
      </c>
      <c r="E12" s="8">
        <f t="shared" si="3"/>
        <v>4917324.0093299998</v>
      </c>
      <c r="F12" s="10"/>
      <c r="G12" s="8">
        <f t="shared" si="4"/>
        <v>2507107.3593299999</v>
      </c>
      <c r="H12" s="4"/>
    </row>
    <row r="13" spans="1:8" x14ac:dyDescent="0.2">
      <c r="A13" s="14">
        <v>3</v>
      </c>
      <c r="B13" s="7">
        <f t="shared" si="0"/>
        <v>19667.367864</v>
      </c>
      <c r="C13" s="8">
        <f t="shared" si="1"/>
        <v>2458420.983</v>
      </c>
      <c r="D13" s="9">
        <f t="shared" si="2"/>
        <v>257.57524999999998</v>
      </c>
      <c r="E13" s="8">
        <f t="shared" si="3"/>
        <v>5065827.1944117658</v>
      </c>
      <c r="F13" s="10"/>
      <c r="G13" s="8">
        <f t="shared" si="4"/>
        <v>2607406.2114117658</v>
      </c>
      <c r="H13" s="4"/>
    </row>
    <row r="14" spans="1:8" x14ac:dyDescent="0.2">
      <c r="A14" s="14">
        <v>4</v>
      </c>
      <c r="B14" s="7">
        <f t="shared" si="0"/>
        <v>20060.715221279999</v>
      </c>
      <c r="C14" s="8">
        <f t="shared" si="1"/>
        <v>2507589.4026600001</v>
      </c>
      <c r="D14" s="9">
        <f t="shared" si="2"/>
        <v>260.1510025</v>
      </c>
      <c r="E14" s="8">
        <f t="shared" si="3"/>
        <v>5218815.1756830011</v>
      </c>
      <c r="F14" s="10"/>
      <c r="G14" s="8">
        <f t="shared" si="4"/>
        <v>2711225.7730230009</v>
      </c>
      <c r="H14" s="4"/>
    </row>
    <row r="15" spans="1:8" x14ac:dyDescent="0.2">
      <c r="A15" s="14">
        <v>5</v>
      </c>
      <c r="B15" s="7">
        <f t="shared" si="0"/>
        <v>20461.9295257056</v>
      </c>
      <c r="C15" s="8">
        <f t="shared" si="1"/>
        <v>2557741.1907131998</v>
      </c>
      <c r="D15" s="9">
        <f t="shared" si="2"/>
        <v>262.75251252499999</v>
      </c>
      <c r="E15" s="8">
        <f t="shared" si="3"/>
        <v>5376423.3939886279</v>
      </c>
      <c r="F15" s="10"/>
      <c r="G15" s="8">
        <f t="shared" si="4"/>
        <v>2818682.2032754282</v>
      </c>
      <c r="H15" s="4"/>
    </row>
    <row r="16" spans="1:8" x14ac:dyDescent="0.2">
      <c r="A16" s="14">
        <v>6</v>
      </c>
      <c r="B16" s="7">
        <f t="shared" si="0"/>
        <v>20871.168116219713</v>
      </c>
      <c r="C16" s="8">
        <f t="shared" si="1"/>
        <v>2608896.0145274643</v>
      </c>
      <c r="D16" s="9">
        <f t="shared" si="2"/>
        <v>265.38003765025002</v>
      </c>
      <c r="E16" s="8">
        <f t="shared" si="3"/>
        <v>5538791.3804870853</v>
      </c>
      <c r="F16" s="10"/>
      <c r="G16" s="8">
        <f t="shared" si="4"/>
        <v>2929895.365959621</v>
      </c>
      <c r="H16" s="3"/>
    </row>
    <row r="17" spans="1:8" x14ac:dyDescent="0.2">
      <c r="A17" s="14">
        <v>7</v>
      </c>
      <c r="B17" s="7">
        <f t="shared" si="0"/>
        <v>21288.591478544102</v>
      </c>
      <c r="C17" s="8">
        <f t="shared" si="1"/>
        <v>2661073.9348180126</v>
      </c>
      <c r="D17" s="9">
        <f t="shared" si="2"/>
        <v>268.03383802675245</v>
      </c>
      <c r="E17" s="8">
        <f t="shared" si="3"/>
        <v>5706062.8801777922</v>
      </c>
      <c r="F17" s="10"/>
      <c r="G17" s="8">
        <f t="shared" si="4"/>
        <v>3044988.9453597795</v>
      </c>
      <c r="H17" s="3"/>
    </row>
    <row r="18" spans="1:8" x14ac:dyDescent="0.2">
      <c r="A18" s="14">
        <v>8</v>
      </c>
      <c r="B18" s="7">
        <f t="shared" si="0"/>
        <v>21714.363308114986</v>
      </c>
      <c r="C18" s="8">
        <f t="shared" si="1"/>
        <v>2714295.4135143734</v>
      </c>
      <c r="D18" s="9">
        <f t="shared" si="2"/>
        <v>270.71417640702003</v>
      </c>
      <c r="E18" s="8">
        <f t="shared" si="3"/>
        <v>5878385.9791591633</v>
      </c>
      <c r="F18" s="10"/>
      <c r="G18" s="8">
        <f t="shared" si="4"/>
        <v>3164090.56564479</v>
      </c>
      <c r="H18" s="3"/>
    </row>
    <row r="19" spans="1:8" x14ac:dyDescent="0.2">
      <c r="A19" s="14">
        <v>9</v>
      </c>
      <c r="B19" s="7">
        <f t="shared" si="0"/>
        <v>22148.650574277286</v>
      </c>
      <c r="C19" s="8">
        <f t="shared" si="1"/>
        <v>2768581.3217846607</v>
      </c>
      <c r="D19" s="9">
        <f t="shared" si="2"/>
        <v>273.42131817109026</v>
      </c>
      <c r="E19" s="8">
        <f t="shared" si="3"/>
        <v>6055913.2357297707</v>
      </c>
      <c r="F19" s="10"/>
      <c r="G19" s="8">
        <f t="shared" si="4"/>
        <v>3287331.91394511</v>
      </c>
      <c r="H19" s="3"/>
    </row>
    <row r="20" spans="1:8" x14ac:dyDescent="0.2">
      <c r="A20" s="14">
        <v>10</v>
      </c>
      <c r="B20" s="7">
        <f t="shared" si="0"/>
        <v>22591.623585762834</v>
      </c>
      <c r="C20" s="8">
        <f t="shared" si="1"/>
        <v>2823952.9482203545</v>
      </c>
      <c r="D20" s="9">
        <f t="shared" si="2"/>
        <v>276.15553135280118</v>
      </c>
      <c r="E20" s="8">
        <f t="shared" si="3"/>
        <v>6238801.8154488113</v>
      </c>
      <c r="F20" s="10"/>
      <c r="G20" s="8">
        <f t="shared" si="4"/>
        <v>3414848.8672284568</v>
      </c>
      <c r="H20" s="4"/>
    </row>
    <row r="21" spans="1:8" x14ac:dyDescent="0.2">
      <c r="A21" s="14">
        <v>11</v>
      </c>
      <c r="B21" s="7">
        <f t="shared" si="0"/>
        <v>23043.456057478084</v>
      </c>
      <c r="C21" s="8">
        <f t="shared" si="1"/>
        <v>2880432.0071847606</v>
      </c>
      <c r="D21" s="9">
        <f t="shared" si="2"/>
        <v>278.91708666632911</v>
      </c>
      <c r="E21" s="8">
        <f t="shared" si="3"/>
        <v>6427213.6302753612</v>
      </c>
      <c r="F21" s="10"/>
      <c r="G21" s="8">
        <f t="shared" si="4"/>
        <v>3546781.6230906006</v>
      </c>
    </row>
    <row r="22" spans="1:8" ht="13.5" thickBot="1" x14ac:dyDescent="0.25">
      <c r="A22" s="17">
        <v>12</v>
      </c>
      <c r="B22" s="18">
        <f t="shared" si="0"/>
        <v>23504.325178627652</v>
      </c>
      <c r="C22" s="19">
        <f t="shared" si="1"/>
        <v>2938040.6473284564</v>
      </c>
      <c r="D22" s="20">
        <f t="shared" si="2"/>
        <v>281.70625753299242</v>
      </c>
      <c r="E22" s="19">
        <f t="shared" si="3"/>
        <v>6621315.4819096792</v>
      </c>
      <c r="F22" s="21"/>
      <c r="G22" s="19">
        <f t="shared" si="4"/>
        <v>3683274.8345812229</v>
      </c>
    </row>
    <row r="23" spans="1:8" x14ac:dyDescent="0.2">
      <c r="F23" s="22" t="s">
        <v>12</v>
      </c>
      <c r="G23" s="26">
        <f>SUM(G11:G22)</f>
        <v>36125850.312849775</v>
      </c>
      <c r="H23" s="11"/>
    </row>
    <row r="24" spans="1:8" x14ac:dyDescent="0.2">
      <c r="H24" s="11"/>
    </row>
    <row r="25" spans="1:8" x14ac:dyDescent="0.2">
      <c r="G25" s="12"/>
    </row>
    <row r="26" spans="1:8" x14ac:dyDescent="0.2">
      <c r="H26" s="13"/>
    </row>
    <row r="27" spans="1:8" x14ac:dyDescent="0.2">
      <c r="H27" s="13"/>
    </row>
    <row r="28" spans="1:8" x14ac:dyDescent="0.2">
      <c r="H28" s="13"/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Health Claims Projection</vt:lpstr>
      <vt:lpstr>G22_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Cliff Ragsdale</cp:lastModifiedBy>
  <dcterms:created xsi:type="dcterms:W3CDTF">2010-05-24T20:50:20Z</dcterms:created>
  <dcterms:modified xsi:type="dcterms:W3CDTF">2013-11-28T17:09:50Z</dcterms:modified>
</cp:coreProperties>
</file>